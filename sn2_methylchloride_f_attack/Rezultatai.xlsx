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<sst xmlns="http://schemas.openxmlformats.org/spreadsheetml/2006/main" count="52" uniqueCount="27">
  <si>
    <t>gas env</t>
  </si>
  <si>
    <t>DFT Energy, Eh</t>
  </si>
  <si>
    <t>DFT Energy, kJ/mol</t>
  </si>
  <si>
    <t>DFT Energy, kcal/mol</t>
  </si>
  <si>
    <t>F-</t>
  </si>
  <si>
    <t>CH3Cl</t>
  </si>
  <si>
    <t>SUM</t>
  </si>
  <si>
    <t>F~CH3Cl (pre-RC)</t>
  </si>
  <si>
    <t>FCH3Cl (TS)</t>
  </si>
  <si>
    <t>Cl~CH3F (post-RC)</t>
  </si>
  <si>
    <t>Cl-</t>
  </si>
  <si>
    <t>CH3F</t>
  </si>
  <si>
    <t>deltaE</t>
  </si>
  <si>
    <t>&lt;5% skirtumas su empirinėmis duomenimis (-152kJ/mol)</t>
  </si>
  <si>
    <t>delta(TS-react.)</t>
  </si>
  <si>
    <t>TS turi mažesnę energiją nei atskirtų reagentų suma, reikia paskaičiuoti dar pre-RC ir post-RC</t>
  </si>
  <si>
    <t>delta(TS-prod.)</t>
  </si>
  <si>
    <t>water env</t>
  </si>
  <si>
    <t>water dielec. 𝜖</t>
  </si>
  <si>
    <t>F~CH3Cl</t>
  </si>
  <si>
    <t>Cl~CH3F</t>
  </si>
  <si>
    <t>acetone env</t>
  </si>
  <si>
    <t>acetone dielec. 𝜖</t>
  </si>
  <si>
    <t>COSMO nėra tikslus su nepoliniais tirpikliais, todėl nedaug skiriasi nuo vandens</t>
  </si>
  <si>
    <t>1 Eh =</t>
  </si>
  <si>
    <t>kJ/mol</t>
  </si>
  <si>
    <t>kcal/mol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</si>
</sst>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0.0000_ "/>
  </numFmts>
  <fonts count="23">
    <font>
      <sz val="11"/>
      <color theme="1"/>
      <name val="Calibri"/>
      <charset val="134"/>
      <scheme val="minor"/>
    </font>
    <font>
      <sz val="11"/>
      <color theme="0" tint="-0.15"/>
      <name val="Calibri"/>
      <charset val="134"/>
      <scheme val="minor"/>
    </font>
    <font>
      <sz val="13.5"/>
      <color rgb="FF001D35"/>
      <name val="Arial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5" applyNumberFormat="0" applyFill="0" applyAlignment="0" applyProtection="0">
      <alignment vertical="center"/>
    </xf>
    <xf numFmtId="0" fontId="10" fillId="0" borderId="25" applyNumberFormat="0" applyFill="0" applyAlignment="0" applyProtection="0">
      <alignment vertical="center"/>
    </xf>
    <xf numFmtId="0" fontId="11" fillId="0" borderId="2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27" applyNumberFormat="0" applyAlignment="0" applyProtection="0">
      <alignment vertical="center"/>
    </xf>
    <xf numFmtId="0" fontId="13" fillId="7" borderId="28" applyNumberFormat="0" applyAlignment="0" applyProtection="0">
      <alignment vertical="center"/>
    </xf>
    <xf numFmtId="0" fontId="14" fillId="7" borderId="27" applyNumberFormat="0" applyAlignment="0" applyProtection="0">
      <alignment vertical="center"/>
    </xf>
    <xf numFmtId="0" fontId="15" fillId="8" borderId="29" applyNumberFormat="0" applyAlignment="0" applyProtection="0">
      <alignment vertical="center"/>
    </xf>
    <xf numFmtId="0" fontId="16" fillId="0" borderId="30" applyNumberFormat="0" applyFill="0" applyAlignment="0" applyProtection="0">
      <alignment vertical="center"/>
    </xf>
    <xf numFmtId="0" fontId="17" fillId="0" borderId="3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9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0" xfId="0" applyBorder="1" applyAlignment="1">
      <alignment horizontal="center"/>
    </xf>
    <xf numFmtId="0" fontId="0" fillId="2" borderId="4" xfId="0" applyFill="1" applyBorder="1"/>
    <xf numFmtId="176" fontId="0" fillId="2" borderId="5" xfId="0" applyNumberFormat="1" applyFill="1" applyBorder="1"/>
    <xf numFmtId="176" fontId="0" fillId="2" borderId="6" xfId="0" applyNumberFormat="1" applyFill="1" applyBorder="1"/>
    <xf numFmtId="0" fontId="0" fillId="0" borderId="0" xfId="0" applyBorder="1"/>
    <xf numFmtId="176" fontId="0" fillId="0" borderId="0" xfId="0" applyNumberFormat="1"/>
    <xf numFmtId="0" fontId="0" fillId="2" borderId="7" xfId="0" applyFill="1" applyBorder="1"/>
    <xf numFmtId="176" fontId="0" fillId="2" borderId="8" xfId="0" applyNumberFormat="1" applyFill="1" applyBorder="1"/>
    <xf numFmtId="176" fontId="0" fillId="2" borderId="9" xfId="0" applyNumberFormat="1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176" fontId="1" fillId="0" borderId="0" xfId="0" applyNumberFormat="1" applyFont="1" applyBorder="1"/>
    <xf numFmtId="0" fontId="2" fillId="0" borderId="0" xfId="0" applyFont="1"/>
    <xf numFmtId="0" fontId="0" fillId="2" borderId="5" xfId="0" applyFill="1" applyBorder="1"/>
    <xf numFmtId="0" fontId="1" fillId="0" borderId="0" xfId="0" applyFont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0" xfId="0" applyFill="1" applyBorder="1"/>
    <xf numFmtId="0" fontId="0" fillId="2" borderId="16" xfId="0" applyFill="1" applyBorder="1"/>
    <xf numFmtId="176" fontId="0" fillId="2" borderId="17" xfId="0" applyNumberFormat="1" applyFill="1" applyBorder="1"/>
    <xf numFmtId="176" fontId="0" fillId="2" borderId="18" xfId="0" applyNumberFormat="1" applyFill="1" applyBorder="1"/>
    <xf numFmtId="0" fontId="0" fillId="2" borderId="19" xfId="0" applyFill="1" applyBorder="1"/>
    <xf numFmtId="176" fontId="0" fillId="2" borderId="20" xfId="0" applyNumberFormat="1" applyFill="1" applyBorder="1"/>
    <xf numFmtId="176" fontId="0" fillId="2" borderId="21" xfId="0" applyNumberFormat="1" applyFill="1" applyBorder="1"/>
    <xf numFmtId="0" fontId="0" fillId="2" borderId="22" xfId="0" applyFont="1" applyFill="1" applyBorder="1"/>
    <xf numFmtId="176" fontId="0" fillId="2" borderId="0" xfId="0" applyNumberFormat="1" applyFont="1" applyFill="1"/>
    <xf numFmtId="176" fontId="0" fillId="2" borderId="23" xfId="0" applyNumberFormat="1" applyFont="1" applyFill="1" applyBorder="1"/>
    <xf numFmtId="0" fontId="0" fillId="0" borderId="0" xfId="0" applyFont="1" applyBorder="1" applyAlignment="1">
      <alignment horizontal="center"/>
    </xf>
    <xf numFmtId="176" fontId="0" fillId="2" borderId="5" xfId="0" applyNumberFormat="1" applyFill="1" applyBorder="1" applyAlignment="1">
      <alignment horizontal="right"/>
    </xf>
    <xf numFmtId="176" fontId="0" fillId="2" borderId="6" xfId="0" applyNumberFormat="1" applyFill="1" applyBorder="1" applyAlignment="1">
      <alignment horizontal="right"/>
    </xf>
    <xf numFmtId="0" fontId="3" fillId="0" borderId="0" xfId="0" applyFont="1" applyAlignment="1">
      <alignment horizontal="center"/>
    </xf>
    <xf numFmtId="176" fontId="0" fillId="2" borderId="20" xfId="0" applyNumberFormat="1" applyFill="1" applyBorder="1" applyAlignment="1">
      <alignment horizontal="right"/>
    </xf>
    <xf numFmtId="176" fontId="0" fillId="2" borderId="21" xfId="0" applyNumberFormat="1" applyFill="1" applyBorder="1" applyAlignment="1">
      <alignment horizontal="right"/>
    </xf>
    <xf numFmtId="0" fontId="0" fillId="3" borderId="1" xfId="0" applyFill="1" applyBorder="1"/>
    <xf numFmtId="176" fontId="0" fillId="3" borderId="2" xfId="0" applyNumberFormat="1" applyFill="1" applyBorder="1"/>
    <xf numFmtId="176" fontId="0" fillId="3" borderId="3" xfId="0" applyNumberFormat="1" applyFill="1" applyBorder="1"/>
    <xf numFmtId="0" fontId="0" fillId="0" borderId="0" xfId="0" applyBorder="1" applyAlignment="1">
      <alignment horizontal="right"/>
    </xf>
    <xf numFmtId="0" fontId="0" fillId="0" borderId="0" xfId="0" applyBorder="1" applyAlignment="1">
      <alignment horizontal="left"/>
    </xf>
    <xf numFmtId="0" fontId="0" fillId="3" borderId="4" xfId="0" applyFill="1" applyBorder="1"/>
    <xf numFmtId="176" fontId="0" fillId="3" borderId="5" xfId="0" applyNumberFormat="1" applyFill="1" applyBorder="1"/>
    <xf numFmtId="176" fontId="0" fillId="3" borderId="6" xfId="0" applyNumberFormat="1" applyFill="1" applyBorder="1"/>
    <xf numFmtId="0" fontId="0" fillId="3" borderId="7" xfId="0" applyFill="1" applyBorder="1"/>
    <xf numFmtId="176" fontId="0" fillId="3" borderId="8" xfId="0" applyNumberFormat="1" applyFill="1" applyBorder="1"/>
    <xf numFmtId="176" fontId="0" fillId="3" borderId="9" xfId="0" applyNumberFormat="1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5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176" fontId="0" fillId="3" borderId="17" xfId="0" applyNumberFormat="1" applyFill="1" applyBorder="1"/>
    <xf numFmtId="176" fontId="0" fillId="3" borderId="18" xfId="0" applyNumberFormat="1" applyFill="1" applyBorder="1"/>
    <xf numFmtId="0" fontId="0" fillId="3" borderId="19" xfId="0" applyFill="1" applyBorder="1"/>
    <xf numFmtId="176" fontId="0" fillId="3" borderId="20" xfId="0" applyNumberFormat="1" applyFill="1" applyBorder="1"/>
    <xf numFmtId="176" fontId="0" fillId="3" borderId="21" xfId="0" applyNumberFormat="1" applyFill="1" applyBorder="1"/>
    <xf numFmtId="0" fontId="0" fillId="3" borderId="22" xfId="0" applyFont="1" applyFill="1" applyBorder="1"/>
    <xf numFmtId="176" fontId="0" fillId="3" borderId="0" xfId="0" applyNumberFormat="1" applyFont="1" applyFill="1"/>
    <xf numFmtId="176" fontId="0" fillId="3" borderId="23" xfId="0" applyNumberFormat="1" applyFont="1" applyFill="1" applyBorder="1"/>
    <xf numFmtId="176" fontId="0" fillId="3" borderId="5" xfId="0" applyNumberFormat="1" applyFill="1" applyBorder="1" applyAlignment="1">
      <alignment horizontal="right"/>
    </xf>
    <xf numFmtId="176" fontId="0" fillId="3" borderId="6" xfId="0" applyNumberFormat="1" applyFill="1" applyBorder="1" applyAlignment="1">
      <alignment horizontal="right"/>
    </xf>
    <xf numFmtId="176" fontId="0" fillId="3" borderId="20" xfId="0" applyNumberFormat="1" applyFill="1" applyBorder="1" applyAlignment="1">
      <alignment horizontal="right"/>
    </xf>
    <xf numFmtId="176" fontId="0" fillId="3" borderId="21" xfId="0" applyNumberFormat="1" applyFill="1" applyBorder="1" applyAlignment="1">
      <alignment horizontal="right"/>
    </xf>
    <xf numFmtId="0" fontId="0" fillId="4" borderId="1" xfId="0" applyFill="1" applyBorder="1"/>
    <xf numFmtId="176" fontId="0" fillId="4" borderId="2" xfId="0" applyNumberFormat="1" applyFill="1" applyBorder="1"/>
    <xf numFmtId="176" fontId="0" fillId="4" borderId="3" xfId="0" applyNumberFormat="1" applyFill="1" applyBorder="1"/>
    <xf numFmtId="0" fontId="0" fillId="4" borderId="4" xfId="0" applyFill="1" applyBorder="1"/>
    <xf numFmtId="176" fontId="0" fillId="4" borderId="5" xfId="0" applyNumberFormat="1" applyFill="1" applyBorder="1"/>
    <xf numFmtId="176" fontId="0" fillId="4" borderId="6" xfId="0" applyNumberFormat="1" applyFill="1" applyBorder="1"/>
    <xf numFmtId="0" fontId="0" fillId="4" borderId="7" xfId="0" applyFill="1" applyBorder="1"/>
    <xf numFmtId="176" fontId="0" fillId="4" borderId="8" xfId="0" applyNumberFormat="1" applyFill="1" applyBorder="1"/>
    <xf numFmtId="176" fontId="0" fillId="4" borderId="9" xfId="0" applyNumberFormat="1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5" xfId="0" applyFill="1" applyBorder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4" borderId="16" xfId="0" applyFill="1" applyBorder="1"/>
    <xf numFmtId="176" fontId="0" fillId="4" borderId="17" xfId="0" applyNumberFormat="1" applyFill="1" applyBorder="1"/>
    <xf numFmtId="176" fontId="0" fillId="4" borderId="18" xfId="0" applyNumberFormat="1" applyFill="1" applyBorder="1"/>
    <xf numFmtId="0" fontId="0" fillId="4" borderId="1" xfId="0" applyFont="1" applyFill="1" applyBorder="1"/>
    <xf numFmtId="176" fontId="0" fillId="4" borderId="2" xfId="0" applyNumberFormat="1" applyFont="1" applyFill="1" applyBorder="1"/>
    <xf numFmtId="176" fontId="0" fillId="4" borderId="3" xfId="0" applyNumberFormat="1" applyFont="1" applyFill="1" applyBorder="1"/>
    <xf numFmtId="176" fontId="0" fillId="4" borderId="5" xfId="0" applyNumberFormat="1" applyFill="1" applyBorder="1" applyAlignment="1">
      <alignment horizontal="right"/>
    </xf>
    <xf numFmtId="176" fontId="0" fillId="4" borderId="6" xfId="0" applyNumberFormat="1" applyFill="1" applyBorder="1" applyAlignment="1">
      <alignment horizontal="right"/>
    </xf>
    <xf numFmtId="0" fontId="0" fillId="4" borderId="19" xfId="0" applyFill="1" applyBorder="1"/>
    <xf numFmtId="176" fontId="0" fillId="4" borderId="20" xfId="0" applyNumberFormat="1" applyFill="1" applyBorder="1"/>
    <xf numFmtId="176" fontId="0" fillId="4" borderId="20" xfId="0" applyNumberFormat="1" applyFill="1" applyBorder="1" applyAlignment="1">
      <alignment horizontal="right"/>
    </xf>
    <xf numFmtId="176" fontId="0" fillId="4" borderId="21" xfId="0" applyNumberFormat="1" applyFill="1" applyBorder="1" applyAlignment="1">
      <alignment horizontal="righ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Sheet1!$B$4:$B$8</c:f>
              <c:numCache>
                <c:formatCode>0.0000_ </c:formatCode>
                <c:ptCount val="5"/>
                <c:pt idx="0">
                  <c:v>-599.757922707703</c:v>
                </c:pt>
                <c:pt idx="1" c:formatCode="General">
                  <c:v>-600.08635</c:v>
                </c:pt>
                <c:pt idx="2" c:formatCode="General">
                  <c:v>-599.781799462202</c:v>
                </c:pt>
                <c:pt idx="3" c:formatCode="General">
                  <c:v>-600.08635797</c:v>
                </c:pt>
                <c:pt idx="4">
                  <c:v>-599.813439820778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98775553"/>
        <c:axId val="284262208"/>
      </c:lineChart>
      <c:catAx>
        <c:axId val="99877555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84262208"/>
        <c:crosses val="autoZero"/>
        <c:auto val="1"/>
        <c:lblAlgn val="ctr"/>
        <c:lblOffset val="100"/>
        <c:noMultiLvlLbl val="0"/>
      </c:catAx>
      <c:valAx>
        <c:axId val="28426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GB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9877555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GB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GB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415925</xdr:colOff>
      <xdr:row>8</xdr:row>
      <xdr:rowOff>174625</xdr:rowOff>
    </xdr:from>
    <xdr:to>
      <xdr:col>13</xdr:col>
      <xdr:colOff>41275</xdr:colOff>
      <xdr:row>23</xdr:row>
      <xdr:rowOff>3175</xdr:rowOff>
    </xdr:to>
    <xdr:graphicFrame>
      <xdr:nvGraphicFramePr>
        <xdr:cNvPr id="3" name="Chart 2"/>
        <xdr:cNvGraphicFramePr/>
      </xdr:nvGraphicFramePr>
      <xdr:xfrm>
        <a:off x="10693400" y="17462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9"/>
  <sheetViews>
    <sheetView tabSelected="1" workbookViewId="0">
      <selection activeCell="E23" sqref="E23"/>
    </sheetView>
  </sheetViews>
  <sheetFormatPr defaultColWidth="9" defaultRowHeight="15" outlineLevelCol="7"/>
  <cols>
    <col min="1" max="1" width="17.2857142857143" customWidth="1"/>
    <col min="2" max="2" width="15.2857142857143" customWidth="1"/>
    <col min="3" max="3" width="18" customWidth="1"/>
    <col min="4" max="4" width="21.5714285714286" customWidth="1"/>
    <col min="5" max="5" width="19.1428571428571" customWidth="1"/>
    <col min="6" max="6" width="62.8571428571429" customWidth="1"/>
    <col min="7" max="9" width="14"/>
  </cols>
  <sheetData>
    <row r="1" spans="1:6">
      <c r="A1" s="1" t="s">
        <v>0</v>
      </c>
      <c r="B1" s="2" t="s">
        <v>1</v>
      </c>
      <c r="C1" s="2" t="s">
        <v>2</v>
      </c>
      <c r="D1" s="3" t="s">
        <v>3</v>
      </c>
      <c r="E1" s="4"/>
      <c r="F1" s="4"/>
    </row>
    <row r="2" spans="1:8">
      <c r="A2" s="5" t="s">
        <v>4</v>
      </c>
      <c r="B2" s="6">
        <v>-99.788700031088</v>
      </c>
      <c r="C2" s="6">
        <f>$C$38*B2</f>
        <v>-261995.194011916</v>
      </c>
      <c r="D2" s="7">
        <f>B2*$C$39</f>
        <v>-62618.3546676518</v>
      </c>
      <c r="E2" s="8"/>
      <c r="F2" s="8"/>
      <c r="H2" s="9"/>
    </row>
    <row r="3" spans="1:8">
      <c r="A3" s="10" t="s">
        <v>5</v>
      </c>
      <c r="B3" s="11">
        <v>-499.969222676615</v>
      </c>
      <c r="C3" s="11">
        <f>$C$38*B3</f>
        <v>-1312669.00414915</v>
      </c>
      <c r="D3" s="12">
        <f>B3*$C$39</f>
        <v>-313735.423937992</v>
      </c>
      <c r="F3" s="8"/>
      <c r="H3" s="9"/>
    </row>
    <row r="4" ht="15.75" spans="1:2">
      <c r="A4" t="s">
        <v>6</v>
      </c>
      <c r="B4" s="9">
        <f>B2+B3</f>
        <v>-599.757922707703</v>
      </c>
    </row>
    <row r="5" ht="17.25" spans="1:8">
      <c r="A5" s="13" t="s">
        <v>7</v>
      </c>
      <c r="B5" s="14">
        <v>-600.08635</v>
      </c>
      <c r="C5" s="14"/>
      <c r="D5" s="15"/>
      <c r="E5" s="16">
        <f>B2+B3</f>
        <v>-599.757922707703</v>
      </c>
      <c r="H5" s="17"/>
    </row>
    <row r="6" spans="1:5">
      <c r="A6" s="5" t="s">
        <v>8</v>
      </c>
      <c r="B6" s="18">
        <v>-599.781799462202</v>
      </c>
      <c r="C6" s="6">
        <f>$C$38*B6</f>
        <v>-1574726.88657093</v>
      </c>
      <c r="D6" s="7">
        <f>B6*$C$39</f>
        <v>-376368.7614953</v>
      </c>
      <c r="E6" s="19"/>
    </row>
    <row r="7" ht="15.75" spans="1:7">
      <c r="A7" s="20" t="s">
        <v>9</v>
      </c>
      <c r="B7" s="21">
        <v>-600.08635797</v>
      </c>
      <c r="C7" s="21"/>
      <c r="D7" s="22"/>
      <c r="E7" s="16">
        <f>B9+B10</f>
        <v>-599.813439820778</v>
      </c>
      <c r="F7" s="8"/>
      <c r="G7" s="23"/>
    </row>
    <row r="8" spans="1:7">
      <c r="A8" t="s">
        <v>6</v>
      </c>
      <c r="B8" s="9">
        <f>SUM(B9:B10)</f>
        <v>-599.813439820778</v>
      </c>
      <c r="G8" s="23"/>
    </row>
    <row r="9" spans="1:6">
      <c r="A9" s="24" t="s">
        <v>10</v>
      </c>
      <c r="B9" s="25">
        <v>-460.160972294191</v>
      </c>
      <c r="C9" s="25">
        <f>$C$38*B9</f>
        <v>-1208152.45789723</v>
      </c>
      <c r="D9" s="26">
        <f>B9*$C$39</f>
        <v>-288755.369679656</v>
      </c>
      <c r="F9" s="8"/>
    </row>
    <row r="10" ht="15.75" spans="1:8">
      <c r="A10" s="27" t="s">
        <v>11</v>
      </c>
      <c r="B10" s="28">
        <v>-139.652467526587</v>
      </c>
      <c r="C10" s="28">
        <f>$C$38*B10</f>
        <v>-366657.500423117</v>
      </c>
      <c r="D10" s="29">
        <f>B10*$C$39</f>
        <v>-87633.2464404107</v>
      </c>
      <c r="G10" s="23"/>
      <c r="H10" s="9"/>
    </row>
    <row r="11" spans="1:8">
      <c r="A11" s="30" t="s">
        <v>12</v>
      </c>
      <c r="B11" s="31">
        <f>B9+B10-B2-B3</f>
        <v>-0.0555171130750409</v>
      </c>
      <c r="C11" s="31">
        <f>C9+C10-C2-C3</f>
        <v>-145.760159282247</v>
      </c>
      <c r="D11" s="32">
        <f>D9+D10-D2-D3</f>
        <v>-34.8375144236488</v>
      </c>
      <c r="E11" s="33" t="s">
        <v>13</v>
      </c>
      <c r="F11" s="33"/>
      <c r="H11" s="9"/>
    </row>
    <row r="12" spans="1:6">
      <c r="A12" s="5" t="s">
        <v>14</v>
      </c>
      <c r="B12" s="6">
        <f>B6-(B3+B2)</f>
        <v>-0.0238767544990424</v>
      </c>
      <c r="C12" s="34">
        <f>$C$38*B12</f>
        <v>-62.688409864069</v>
      </c>
      <c r="D12" s="35">
        <f>$C$39*B12</f>
        <v>-14.9828896565212</v>
      </c>
      <c r="E12" s="36" t="s">
        <v>15</v>
      </c>
      <c r="F12" s="36"/>
    </row>
    <row r="13" ht="15.75" spans="1:6">
      <c r="A13" s="27" t="s">
        <v>16</v>
      </c>
      <c r="B13" s="28">
        <f>B6-(B10+B9)</f>
        <v>0.0316403585760554</v>
      </c>
      <c r="C13" s="37">
        <f>$C$38*B13</f>
        <v>83.0717494180972</v>
      </c>
      <c r="D13" s="38">
        <f>$C$39*B13</f>
        <v>19.8546247672319</v>
      </c>
      <c r="E13" s="8"/>
      <c r="F13" s="8"/>
    </row>
    <row r="14" ht="15.75" spans="5:6">
      <c r="E14" s="8"/>
      <c r="F14" s="8"/>
    </row>
    <row r="15" spans="1:6">
      <c r="A15" s="39" t="s">
        <v>17</v>
      </c>
      <c r="B15" s="40" t="s">
        <v>1</v>
      </c>
      <c r="C15" s="40" t="s">
        <v>2</v>
      </c>
      <c r="D15" s="41" t="s">
        <v>3</v>
      </c>
      <c r="E15" s="42" t="s">
        <v>18</v>
      </c>
      <c r="F15" s="43">
        <v>78.4</v>
      </c>
    </row>
    <row r="16" spans="1:6">
      <c r="A16" s="44" t="s">
        <v>4</v>
      </c>
      <c r="B16" s="45">
        <v>-99.929315225336</v>
      </c>
      <c r="C16" s="45">
        <f>$C$38*B16</f>
        <v>-262364.37915098</v>
      </c>
      <c r="D16" s="46">
        <f>B16*$C$39</f>
        <v>-62706.5920342308</v>
      </c>
      <c r="E16" s="8"/>
      <c r="F16" s="8"/>
    </row>
    <row r="17" ht="15.75" spans="1:6">
      <c r="A17" s="47" t="s">
        <v>5</v>
      </c>
      <c r="B17" s="48">
        <v>-499.973960862446</v>
      </c>
      <c r="C17" s="48">
        <f>$C$38*B17</f>
        <v>-1312681.44425425</v>
      </c>
      <c r="D17" s="49">
        <f>B17*$C$39</f>
        <v>-313738.39719449</v>
      </c>
      <c r="E17" s="8"/>
      <c r="F17" s="8"/>
    </row>
    <row r="18" spans="1:4">
      <c r="A18" s="50" t="s">
        <v>19</v>
      </c>
      <c r="B18" s="51"/>
      <c r="C18" s="51"/>
      <c r="D18" s="52"/>
    </row>
    <row r="19" spans="1:4">
      <c r="A19" s="44" t="s">
        <v>8</v>
      </c>
      <c r="B19" s="53">
        <v>-599.883770337165</v>
      </c>
      <c r="C19" s="45">
        <f>$C$38*B19</f>
        <v>-1574994.61106439</v>
      </c>
      <c r="D19" s="46">
        <f>B19*$C$39</f>
        <v>-376432.749185411</v>
      </c>
    </row>
    <row r="20" ht="15.75" spans="1:4">
      <c r="A20" s="54" t="s">
        <v>20</v>
      </c>
      <c r="B20" s="55"/>
      <c r="C20" s="55"/>
      <c r="D20" s="56"/>
    </row>
    <row r="21" spans="1:6">
      <c r="A21" s="57" t="s">
        <v>10</v>
      </c>
      <c r="B21" s="58">
        <v>-460.274652550907</v>
      </c>
      <c r="C21" s="58">
        <f>$C$38*B21</f>
        <v>-1208450.92536804</v>
      </c>
      <c r="D21" s="59">
        <f>B21*$C$39</f>
        <v>-288826.705117752</v>
      </c>
      <c r="E21" s="8"/>
      <c r="F21" s="8"/>
    </row>
    <row r="22" ht="15.75" spans="1:6">
      <c r="A22" s="60" t="s">
        <v>11</v>
      </c>
      <c r="B22" s="61">
        <v>-139.657362331308</v>
      </c>
      <c r="C22" s="61">
        <f>$C$38*B22</f>
        <v>-366670.351731052</v>
      </c>
      <c r="D22" s="62">
        <f>B22*$C$39</f>
        <v>-87636.3179767465</v>
      </c>
      <c r="E22" s="8"/>
      <c r="F22" s="8"/>
    </row>
    <row r="23" spans="1:6">
      <c r="A23" s="63" t="s">
        <v>12</v>
      </c>
      <c r="B23" s="64">
        <f>B21+B22-B16-B17</f>
        <v>-0.028738794432968</v>
      </c>
      <c r="C23" s="64">
        <f>C21+C22-C16-C17</f>
        <v>-75.4536938630044</v>
      </c>
      <c r="D23" s="65">
        <f>D21+D22-D16-D17</f>
        <v>-18.0338657780085</v>
      </c>
      <c r="E23" s="8"/>
      <c r="F23" s="8"/>
    </row>
    <row r="24" spans="1:6">
      <c r="A24" s="44" t="s">
        <v>14</v>
      </c>
      <c r="B24" s="45">
        <f>B19-(B17+B16)</f>
        <v>0.0195057506170997</v>
      </c>
      <c r="C24" s="66">
        <f>$C$38*B24</f>
        <v>51.21234083301</v>
      </c>
      <c r="D24" s="67">
        <f>$C$39*B24</f>
        <v>12.2400433097114</v>
      </c>
      <c r="E24" s="8"/>
      <c r="F24" s="8"/>
    </row>
    <row r="25" ht="15.75" spans="1:6">
      <c r="A25" s="60" t="s">
        <v>16</v>
      </c>
      <c r="B25" s="61">
        <f>B19-(B22+B21)</f>
        <v>0.0482445450500109</v>
      </c>
      <c r="C25" s="68">
        <f>$C$38*B25</f>
        <v>126.666034695876</v>
      </c>
      <c r="D25" s="69">
        <f>$C$39*B25</f>
        <v>30.2739090877016</v>
      </c>
      <c r="E25" s="8"/>
      <c r="F25" s="8"/>
    </row>
    <row r="26" ht="15.75" spans="5:6">
      <c r="E26" s="8"/>
      <c r="F26" s="8"/>
    </row>
    <row r="27" spans="1:6">
      <c r="A27" s="70" t="s">
        <v>21</v>
      </c>
      <c r="B27" s="71" t="s">
        <v>1</v>
      </c>
      <c r="C27" s="71" t="s">
        <v>2</v>
      </c>
      <c r="D27" s="72" t="s">
        <v>3</v>
      </c>
      <c r="E27" s="42" t="s">
        <v>22</v>
      </c>
      <c r="F27" s="43">
        <v>25.2</v>
      </c>
    </row>
    <row r="28" spans="1:6">
      <c r="A28" s="73" t="s">
        <v>4</v>
      </c>
      <c r="B28" s="74">
        <v>-99.92545188483</v>
      </c>
      <c r="C28" s="74">
        <f>$C$38*B28</f>
        <v>-262354.235951949</v>
      </c>
      <c r="D28" s="75">
        <f>B28*$C$39</f>
        <v>-62704.167751462</v>
      </c>
      <c r="E28" s="8"/>
      <c r="F28" s="8"/>
    </row>
    <row r="29" ht="15.75" spans="1:6">
      <c r="A29" s="76" t="s">
        <v>5</v>
      </c>
      <c r="B29" s="77">
        <v>-499.973803845674</v>
      </c>
      <c r="C29" s="77">
        <f>$C$38*B29</f>
        <v>-1312681.03200677</v>
      </c>
      <c r="D29" s="78">
        <f>B29*$C$39</f>
        <v>-313738.298664978</v>
      </c>
      <c r="E29" s="8"/>
      <c r="F29" s="8"/>
    </row>
    <row r="30" spans="1:4">
      <c r="A30" s="79" t="s">
        <v>19</v>
      </c>
      <c r="B30" s="80"/>
      <c r="C30" s="80"/>
      <c r="D30" s="81"/>
    </row>
    <row r="31" spans="1:4">
      <c r="A31" s="73" t="s">
        <v>8</v>
      </c>
      <c r="B31" s="82">
        <v>-599.880972882533</v>
      </c>
      <c r="C31" s="74">
        <f>$C$38*B31</f>
        <v>-1574987.26634832</v>
      </c>
      <c r="D31" s="75">
        <f>B31*$C$39</f>
        <v>-376430.993756126</v>
      </c>
    </row>
    <row r="32" ht="15.75" spans="1:4">
      <c r="A32" s="83" t="s">
        <v>20</v>
      </c>
      <c r="B32" s="84"/>
      <c r="C32" s="84"/>
      <c r="D32" s="85"/>
    </row>
    <row r="33" spans="1:6">
      <c r="A33" s="86" t="s">
        <v>10</v>
      </c>
      <c r="B33" s="87">
        <v>-460.271504848491</v>
      </c>
      <c r="C33" s="87">
        <f>$C$38*B33</f>
        <v>-1208442.66107654</v>
      </c>
      <c r="D33" s="88">
        <f>B33*$C$39</f>
        <v>-288824.729904665</v>
      </c>
      <c r="E33" s="8"/>
      <c r="F33" s="8"/>
    </row>
    <row r="34" ht="15.75" spans="1:6">
      <c r="A34" s="76" t="s">
        <v>11</v>
      </c>
      <c r="B34" s="77">
        <v>-139.657201344675</v>
      </c>
      <c r="C34" s="77">
        <f>$C$38*B34</f>
        <v>-366669.929060708</v>
      </c>
      <c r="D34" s="78">
        <f>B34*$C$39</f>
        <v>-87636.2169561091</v>
      </c>
      <c r="E34" s="8"/>
      <c r="F34" s="8"/>
    </row>
    <row r="35" spans="1:6">
      <c r="A35" s="89" t="s">
        <v>12</v>
      </c>
      <c r="B35" s="90">
        <f>B33+B34-B28-B29</f>
        <v>-0.0294504626619982</v>
      </c>
      <c r="C35" s="90">
        <f>C33+C34-C28-C29</f>
        <v>-77.3221785279457</v>
      </c>
      <c r="D35" s="91">
        <f>D33+D34-D28-D29</f>
        <v>-18.4804443340981</v>
      </c>
      <c r="E35" s="4" t="s">
        <v>23</v>
      </c>
      <c r="F35" s="4"/>
    </row>
    <row r="36" spans="1:4">
      <c r="A36" s="73" t="s">
        <v>14</v>
      </c>
      <c r="B36" s="74">
        <f>B31-(B29+B28)</f>
        <v>0.0182828479710224</v>
      </c>
      <c r="C36" s="92">
        <f>$C$38*B36</f>
        <v>48.0016104004371</v>
      </c>
      <c r="D36" s="93">
        <f>$C$39*B36</f>
        <v>11.4726603135182</v>
      </c>
    </row>
    <row r="37" ht="15.75" spans="1:4">
      <c r="A37" s="94" t="s">
        <v>16</v>
      </c>
      <c r="B37" s="95">
        <f>B31-(B34+B33)</f>
        <v>0.0477333106330207</v>
      </c>
      <c r="C37" s="96">
        <f>$C$38*B37</f>
        <v>125.323788928338</v>
      </c>
      <c r="D37" s="97">
        <f>$C$39*B37</f>
        <v>29.9531046476054</v>
      </c>
    </row>
    <row r="38" spans="2:4">
      <c r="B38" s="42" t="s">
        <v>24</v>
      </c>
      <c r="C38" s="8">
        <v>2625.49962</v>
      </c>
      <c r="D38" s="8" t="s">
        <v>25</v>
      </c>
    </row>
    <row r="39" spans="3:4">
      <c r="C39">
        <v>627.509474</v>
      </c>
      <c r="D39" t="s">
        <v>26</v>
      </c>
    </row>
  </sheetData>
  <mergeCells count="4">
    <mergeCell ref="E1:F1"/>
    <mergeCell ref="E11:F11"/>
    <mergeCell ref="E12:F12"/>
    <mergeCell ref="E35:F35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Sebastijonas Valaitis</cp:lastModifiedBy>
  <dcterms:created xsi:type="dcterms:W3CDTF">2025-07-21T09:59:00Z</dcterms:created>
  <dcterms:modified xsi:type="dcterms:W3CDTF">2026-01-15T15:00:42Z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3CFB10C46AC64BEAAE20325DA4168203_12</vt:lpwstr>
  </property>
  <property fmtid="{D5CDD505-2E9C-101B-9397-08002B2CF9AE}" pid="3" name="KSOProductBuildVer">
    <vt:lpwstr>2057-12.2.0.23196</vt:lpwstr>
  </property>
</Properties>
</file>